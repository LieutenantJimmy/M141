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Aptos Narrow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0"/>
      <b val="1"/>
      <color theme="1"/>
      <sz val="18"/>
    </font>
    <font>
      <name val="Aptos Narrow"/>
      <charset val="1"/>
      <family val="0"/>
      <b val="1"/>
      <color theme="1"/>
      <sz val="12"/>
    </font>
    <font>
      <name val="Aptos Narrow"/>
      <charset val="1"/>
      <family val="2"/>
      <color rgb="FFFF0000"/>
      <sz val="12"/>
    </font>
    <font>
      <name val="Aptos Narrow"/>
      <charset val="1"/>
      <family val="0"/>
      <b val="1"/>
      <color theme="1"/>
      <sz val="14"/>
    </font>
    <font>
      <name val="Aptos Narrow"/>
      <charset val="1"/>
      <family val="0"/>
      <b val="1"/>
      <color rgb="FFFF0000"/>
      <sz val="14"/>
    </font>
    <font>
      <name val="Aptos Narrow"/>
      <charset val="1"/>
      <family val="2"/>
      <color rgb="FF000000"/>
      <sz val="12"/>
    </font>
    <font>
      <name val="Aptos Narrow"/>
      <charset val="1"/>
      <family val="0"/>
      <b val="1"/>
      <color rgb="FFFF0000"/>
      <sz val="16"/>
    </font>
    <font>
      <name val="Aptos Narrow"/>
      <charset val="1"/>
      <family val="0"/>
      <b val="1"/>
      <color theme="1"/>
      <sz val="16"/>
    </font>
    <font>
      <name val="Aptos Narrow"/>
      <charset val="1"/>
      <family val="0"/>
      <b val="1"/>
      <color rgb="FFFF0000"/>
      <sz val="18"/>
    </font>
  </fonts>
  <fills count="11">
    <fill>
      <patternFill/>
    </fill>
    <fill>
      <patternFill patternType="gray125"/>
    </fill>
    <fill>
      <patternFill patternType="solid">
        <fgColor theme="9" tint="0.7999000000000001"/>
        <bgColor rgb="FFE3FEDD"/>
      </patternFill>
    </fill>
    <fill>
      <patternFill patternType="solid">
        <fgColor rgb="FFE3FEDD"/>
        <bgColor rgb="FFD9F2D0"/>
      </patternFill>
    </fill>
    <fill>
      <patternFill patternType="solid">
        <fgColor theme="0" tint="-0.15"/>
        <bgColor rgb="FFDCEAF7"/>
      </patternFill>
    </fill>
    <fill>
      <patternFill patternType="solid">
        <fgColor theme="0" tint="-0.05"/>
        <bgColor rgb="FFDCEAF7"/>
      </patternFill>
    </fill>
    <fill>
      <patternFill patternType="solid">
        <fgColor theme="3" tint="0.8999"/>
        <bgColor rgb="FFF2F2F2"/>
      </patternFill>
    </fill>
    <fill>
      <patternFill patternType="solid">
        <fgColor theme="8" tint="0.7999000000000001"/>
        <bgColor rgb="FFD9D9D9"/>
      </patternFill>
    </fill>
    <fill>
      <patternFill patternType="solid">
        <fgColor theme="4" tint="0.7999000000000001"/>
        <bgColor rgb="FFDCEAF7"/>
      </patternFill>
    </fill>
    <fill>
      <patternFill patternType="solid">
        <fgColor theme="5" tint="0.7999000000000001"/>
        <bgColor rgb="FFF2F2F2"/>
      </patternFill>
    </fill>
    <fill>
      <patternFill patternType="solid">
        <fgColor theme="6" tint="0.7999000000000001"/>
        <bgColor rgb="FFD9F2D0"/>
      </patternFill>
    </fill>
  </fills>
  <borders count="23">
    <border>
      <left/>
      <right/>
      <top/>
      <bottom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medium"/>
      <right style="medium"/>
      <top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 style="medium"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 style="medium"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6" fillId="3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left" vertical="bottom" indent="1"/>
    </xf>
    <xf numFmtId="0" fontId="0" fillId="3" borderId="1" applyAlignment="1" pivotButton="0" quotePrefix="0" xfId="0">
      <alignment horizontal="general" vertical="bottom"/>
    </xf>
    <xf numFmtId="0" fontId="7" fillId="4" borderId="4" applyAlignment="1" pivotButton="0" quotePrefix="0" xfId="0">
      <alignment horizontal="center" vertical="top" wrapText="1"/>
    </xf>
    <xf numFmtId="0" fontId="7" fillId="4" borderId="5" applyAlignment="1" pivotButton="0" quotePrefix="0" xfId="0">
      <alignment horizontal="left" vertical="top" wrapText="1"/>
    </xf>
    <xf numFmtId="0" fontId="7" fillId="4" borderId="6" applyAlignment="1" pivotButton="0" quotePrefix="0" xfId="0">
      <alignment horizontal="left" vertical="top" wrapText="1"/>
    </xf>
    <xf numFmtId="0" fontId="8" fillId="4" borderId="3" applyAlignment="1" pivotButton="0" quotePrefix="0" xfId="0">
      <alignment horizontal="center" vertical="top" wrapText="1"/>
    </xf>
    <xf numFmtId="0" fontId="7" fillId="4" borderId="3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top" wrapText="1"/>
    </xf>
    <xf numFmtId="0" fontId="5" fillId="0" borderId="8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top" wrapText="1"/>
    </xf>
    <xf numFmtId="0" fontId="8" fillId="2" borderId="10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left" vertical="top" wrapText="1"/>
    </xf>
    <xf numFmtId="0" fontId="0" fillId="5" borderId="11" applyAlignment="1" pivotButton="0" quotePrefix="0" xfId="0">
      <alignment horizontal="center" vertical="top" wrapText="1"/>
    </xf>
    <xf numFmtId="0" fontId="5" fillId="5" borderId="12" applyAlignment="1" pivotButton="0" quotePrefix="0" xfId="0">
      <alignment horizontal="left" vertical="bottom" wrapText="1"/>
    </xf>
    <xf numFmtId="0" fontId="0" fillId="5" borderId="13" applyAlignment="1" pivotButton="0" quotePrefix="0" xfId="0">
      <alignment horizontal="left" vertical="top" wrapText="1"/>
    </xf>
    <xf numFmtId="0" fontId="8" fillId="5" borderId="14" applyAlignment="1" pivotButton="0" quotePrefix="0" xfId="0">
      <alignment horizontal="center" vertical="center" wrapText="1"/>
    </xf>
    <xf numFmtId="0" fontId="0" fillId="5" borderId="14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center" vertical="top" wrapText="1"/>
    </xf>
    <xf numFmtId="0" fontId="0" fillId="0" borderId="12" applyAlignment="1" pivotButton="0" quotePrefix="0" xfId="0">
      <alignment horizontal="general" vertical="top" wrapText="1"/>
    </xf>
    <xf numFmtId="0" fontId="0" fillId="0" borderId="13" applyAlignment="1" pivotButton="0" quotePrefix="0" xfId="0">
      <alignment horizontal="left" vertical="top" wrapText="1"/>
    </xf>
    <xf numFmtId="0" fontId="8" fillId="6" borderId="14" applyAlignment="1" pivotButton="0" quotePrefix="0" xfId="0">
      <alignment horizontal="center" vertical="center" wrapText="1"/>
    </xf>
    <xf numFmtId="0" fontId="0" fillId="6" borderId="11" applyAlignment="1" pivotButton="0" quotePrefix="0" xfId="0">
      <alignment horizontal="left" vertical="top" wrapText="1"/>
    </xf>
    <xf numFmtId="0" fontId="0" fillId="0" borderId="12" applyAlignment="1" pivotButton="0" quotePrefix="0" xfId="0">
      <alignment horizontal="general" vertical="top"/>
    </xf>
    <xf numFmtId="0" fontId="8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left" vertical="top" wrapText="1"/>
    </xf>
    <xf numFmtId="0" fontId="5" fillId="5" borderId="12" applyAlignment="1" pivotButton="0" quotePrefix="0" xfId="0">
      <alignment horizontal="general" vertical="bottom"/>
    </xf>
    <xf numFmtId="0" fontId="0" fillId="5" borderId="11" applyAlignment="1" pivotButton="0" quotePrefix="0" xfId="0">
      <alignment horizontal="center" vertical="bottom" wrapText="1"/>
    </xf>
    <xf numFmtId="0" fontId="0" fillId="5" borderId="13" applyAlignment="1" pivotButton="0" quotePrefix="0" xfId="0">
      <alignment horizontal="left" vertical="bottom" wrapText="1"/>
    </xf>
    <xf numFmtId="0" fontId="0" fillId="5" borderId="11" applyAlignment="1" pivotButton="0" quotePrefix="0" xfId="0">
      <alignment horizontal="left" vertical="bottom" wrapText="1"/>
    </xf>
    <xf numFmtId="0" fontId="0" fillId="0" borderId="12" applyAlignment="1" pivotButton="0" quotePrefix="0" xfId="0">
      <alignment horizontal="left" vertical="top" wrapText="1"/>
    </xf>
    <xf numFmtId="0" fontId="0" fillId="5" borderId="12" applyAlignment="1" pivotButton="0" quotePrefix="0" xfId="0">
      <alignment horizontal="left" vertical="top" wrapText="1"/>
    </xf>
    <xf numFmtId="0" fontId="0" fillId="5" borderId="11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8" fillId="7" borderId="14" applyAlignment="1" pivotButton="0" quotePrefix="0" xfId="0">
      <alignment horizontal="center" vertical="center" wrapText="1"/>
    </xf>
    <xf numFmtId="0" fontId="0" fillId="7" borderId="13" applyAlignment="1" pivotButton="0" quotePrefix="0" xfId="0">
      <alignment horizontal="left" vertical="top" wrapText="1"/>
    </xf>
    <xf numFmtId="0" fontId="8" fillId="8" borderId="14" applyAlignment="1" pivotButton="0" quotePrefix="0" xfId="0">
      <alignment horizontal="center" vertical="center" wrapText="1"/>
    </xf>
    <xf numFmtId="0" fontId="9" fillId="8" borderId="13" applyAlignment="1" pivotButton="0" quotePrefix="0" xfId="0">
      <alignment horizontal="left" vertical="top" wrapText="1"/>
    </xf>
    <xf numFmtId="0" fontId="0" fillId="5" borderId="15" applyAlignment="1" pivotButton="0" quotePrefix="0" xfId="0">
      <alignment horizontal="center" vertical="top" wrapText="1"/>
    </xf>
    <xf numFmtId="0" fontId="0" fillId="5" borderId="16" applyAlignment="1" pivotButton="0" quotePrefix="0" xfId="0">
      <alignment horizontal="left" vertical="top" wrapText="1"/>
    </xf>
    <xf numFmtId="0" fontId="0" fillId="5" borderId="17" applyAlignment="1" pivotButton="0" quotePrefix="0" xfId="0">
      <alignment horizontal="left" vertical="top" wrapText="1"/>
    </xf>
    <xf numFmtId="0" fontId="8" fillId="5" borderId="18" applyAlignment="1" pivotButton="0" quotePrefix="0" xfId="0">
      <alignment horizontal="center" vertical="center" wrapText="1"/>
    </xf>
    <xf numFmtId="0" fontId="0" fillId="5" borderId="18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0" fontId="10" fillId="9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top" wrapText="1"/>
    </xf>
    <xf numFmtId="0" fontId="0" fillId="5" borderId="19" applyAlignment="1" pivotButton="0" quotePrefix="0" xfId="0">
      <alignment horizontal="center" vertical="top" wrapText="1"/>
    </xf>
    <xf numFmtId="0" fontId="0" fillId="5" borderId="20" applyAlignment="1" pivotButton="0" quotePrefix="0" xfId="0">
      <alignment horizontal="left" vertical="top" wrapText="1"/>
    </xf>
    <xf numFmtId="0" fontId="0" fillId="5" borderId="21" applyAlignment="1" pivotButton="0" quotePrefix="0" xfId="0">
      <alignment horizontal="left" vertical="top" wrapText="1"/>
    </xf>
    <xf numFmtId="0" fontId="8" fillId="5" borderId="22" applyAlignment="1" pivotButton="0" quotePrefix="0" xfId="0">
      <alignment horizontal="center" vertical="center" wrapText="1"/>
    </xf>
    <xf numFmtId="0" fontId="0" fillId="5" borderId="22" applyAlignment="1" pivotButton="0" quotePrefix="0" xfId="0">
      <alignment horizontal="left" vertical="top" wrapText="1"/>
    </xf>
    <xf numFmtId="0" fontId="11" fillId="0" borderId="5" applyAlignment="1" pivotButton="0" quotePrefix="0" xfId="0">
      <alignment horizontal="left" vertical="top" wrapText="1"/>
    </xf>
    <xf numFmtId="164" fontId="12" fillId="1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6" fillId="3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left" vertical="bottom" indent="1"/>
    </xf>
    <xf numFmtId="0" fontId="0" fillId="3" borderId="1" applyAlignment="1" pivotButton="0" quotePrefix="0" xfId="0">
      <alignment horizontal="general" vertical="bottom"/>
    </xf>
    <xf numFmtId="0" fontId="7" fillId="4" borderId="4" applyAlignment="1" pivotButton="0" quotePrefix="0" xfId="0">
      <alignment horizontal="center" vertical="top" wrapText="1"/>
    </xf>
    <xf numFmtId="0" fontId="7" fillId="4" borderId="5" applyAlignment="1" pivotButton="0" quotePrefix="0" xfId="0">
      <alignment horizontal="left" vertical="top" wrapText="1"/>
    </xf>
    <xf numFmtId="0" fontId="7" fillId="4" borderId="6" applyAlignment="1" pivotButton="0" quotePrefix="0" xfId="0">
      <alignment horizontal="left" vertical="top" wrapText="1"/>
    </xf>
    <xf numFmtId="0" fontId="8" fillId="4" borderId="3" applyAlignment="1" pivotButton="0" quotePrefix="0" xfId="0">
      <alignment horizontal="center" vertical="top" wrapText="1"/>
    </xf>
    <xf numFmtId="0" fontId="7" fillId="4" borderId="3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top" wrapText="1"/>
    </xf>
    <xf numFmtId="0" fontId="5" fillId="0" borderId="8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top" wrapText="1"/>
    </xf>
    <xf numFmtId="0" fontId="8" fillId="2" borderId="10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left" vertical="top" wrapText="1"/>
    </xf>
    <xf numFmtId="0" fontId="0" fillId="5" borderId="11" applyAlignment="1" pivotButton="0" quotePrefix="0" xfId="0">
      <alignment horizontal="center" vertical="top" wrapText="1"/>
    </xf>
    <xf numFmtId="0" fontId="5" fillId="5" borderId="12" applyAlignment="1" pivotButton="0" quotePrefix="0" xfId="0">
      <alignment horizontal="left" vertical="bottom" wrapText="1"/>
    </xf>
    <xf numFmtId="0" fontId="0" fillId="5" borderId="13" applyAlignment="1" pivotButton="0" quotePrefix="0" xfId="0">
      <alignment horizontal="left" vertical="top" wrapText="1"/>
    </xf>
    <xf numFmtId="0" fontId="8" fillId="5" borderId="14" applyAlignment="1" pivotButton="0" quotePrefix="0" xfId="0">
      <alignment horizontal="center" vertical="center" wrapText="1"/>
    </xf>
    <xf numFmtId="0" fontId="0" fillId="5" borderId="14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center" vertical="top" wrapText="1"/>
    </xf>
    <xf numFmtId="0" fontId="0" fillId="0" borderId="12" applyAlignment="1" pivotButton="0" quotePrefix="0" xfId="0">
      <alignment horizontal="general" vertical="top" wrapText="1"/>
    </xf>
    <xf numFmtId="0" fontId="0" fillId="0" borderId="13" applyAlignment="1" pivotButton="0" quotePrefix="0" xfId="0">
      <alignment horizontal="left" vertical="top" wrapText="1"/>
    </xf>
    <xf numFmtId="0" fontId="8" fillId="6" borderId="14" applyAlignment="1" pivotButton="0" quotePrefix="0" xfId="0">
      <alignment horizontal="center" vertical="center" wrapText="1"/>
    </xf>
    <xf numFmtId="0" fontId="0" fillId="6" borderId="11" applyAlignment="1" pivotButton="0" quotePrefix="0" xfId="0">
      <alignment horizontal="left" vertical="top" wrapText="1"/>
    </xf>
    <xf numFmtId="0" fontId="0" fillId="0" borderId="12" applyAlignment="1" pivotButton="0" quotePrefix="0" xfId="0">
      <alignment horizontal="general" vertical="top"/>
    </xf>
    <xf numFmtId="0" fontId="8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left" vertical="top" wrapText="1"/>
    </xf>
    <xf numFmtId="0" fontId="5" fillId="5" borderId="12" applyAlignment="1" pivotButton="0" quotePrefix="0" xfId="0">
      <alignment horizontal="general" vertical="bottom"/>
    </xf>
    <xf numFmtId="0" fontId="0" fillId="5" borderId="11" applyAlignment="1" pivotButton="0" quotePrefix="0" xfId="0">
      <alignment horizontal="center" vertical="bottom" wrapText="1"/>
    </xf>
    <xf numFmtId="0" fontId="0" fillId="5" borderId="13" applyAlignment="1" pivotButton="0" quotePrefix="0" xfId="0">
      <alignment horizontal="left" vertical="bottom" wrapText="1"/>
    </xf>
    <xf numFmtId="0" fontId="0" fillId="5" borderId="11" applyAlignment="1" pivotButton="0" quotePrefix="0" xfId="0">
      <alignment horizontal="left" vertical="bottom" wrapText="1"/>
    </xf>
    <xf numFmtId="0" fontId="0" fillId="0" borderId="12" applyAlignment="1" pivotButton="0" quotePrefix="0" xfId="0">
      <alignment horizontal="left" vertical="top" wrapText="1"/>
    </xf>
    <xf numFmtId="0" fontId="0" fillId="5" borderId="12" applyAlignment="1" pivotButton="0" quotePrefix="0" xfId="0">
      <alignment horizontal="left" vertical="top" wrapText="1"/>
    </xf>
    <xf numFmtId="0" fontId="0" fillId="5" borderId="11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8" fillId="7" borderId="14" applyAlignment="1" pivotButton="0" quotePrefix="0" xfId="0">
      <alignment horizontal="center" vertical="center" wrapText="1"/>
    </xf>
    <xf numFmtId="0" fontId="0" fillId="7" borderId="13" applyAlignment="1" pivotButton="0" quotePrefix="0" xfId="0">
      <alignment horizontal="left" vertical="top" wrapText="1"/>
    </xf>
    <xf numFmtId="0" fontId="8" fillId="8" borderId="14" applyAlignment="1" pivotButton="0" quotePrefix="0" xfId="0">
      <alignment horizontal="center" vertical="center" wrapText="1"/>
    </xf>
    <xf numFmtId="0" fontId="9" fillId="8" borderId="13" applyAlignment="1" pivotButton="0" quotePrefix="0" xfId="0">
      <alignment horizontal="left" vertical="top" wrapText="1"/>
    </xf>
    <xf numFmtId="0" fontId="0" fillId="5" borderId="15" applyAlignment="1" pivotButton="0" quotePrefix="0" xfId="0">
      <alignment horizontal="center" vertical="top" wrapText="1"/>
    </xf>
    <xf numFmtId="0" fontId="0" fillId="5" borderId="16" applyAlignment="1" pivotButton="0" quotePrefix="0" xfId="0">
      <alignment horizontal="left" vertical="top" wrapText="1"/>
    </xf>
    <xf numFmtId="0" fontId="0" fillId="5" borderId="17" applyAlignment="1" pivotButton="0" quotePrefix="0" xfId="0">
      <alignment horizontal="left" vertical="top" wrapText="1"/>
    </xf>
    <xf numFmtId="0" fontId="8" fillId="5" borderId="18" applyAlignment="1" pivotButton="0" quotePrefix="0" xfId="0">
      <alignment horizontal="center" vertical="center" wrapText="1"/>
    </xf>
    <xf numFmtId="0" fontId="0" fillId="5" borderId="18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0" fontId="10" fillId="9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top" wrapText="1"/>
    </xf>
    <xf numFmtId="0" fontId="0" fillId="5" borderId="19" applyAlignment="1" pivotButton="0" quotePrefix="0" xfId="0">
      <alignment horizontal="center" vertical="top" wrapText="1"/>
    </xf>
    <xf numFmtId="0" fontId="0" fillId="5" borderId="20" applyAlignment="1" pivotButton="0" quotePrefix="0" xfId="0">
      <alignment horizontal="left" vertical="top" wrapText="1"/>
    </xf>
    <xf numFmtId="0" fontId="0" fillId="5" borderId="21" applyAlignment="1" pivotButton="0" quotePrefix="0" xfId="0">
      <alignment horizontal="left" vertical="top" wrapText="1"/>
    </xf>
    <xf numFmtId="0" fontId="8" fillId="5" borderId="22" applyAlignment="1" pivotButton="0" quotePrefix="0" xfId="0">
      <alignment horizontal="center" vertical="center" wrapText="1"/>
    </xf>
    <xf numFmtId="0" fontId="0" fillId="5" borderId="22" applyAlignment="1" pivotButton="0" quotePrefix="0" xfId="0">
      <alignment horizontal="left" vertical="top" wrapText="1"/>
    </xf>
    <xf numFmtId="0" fontId="11" fillId="0" borderId="5" applyAlignment="1" pivotButton="0" quotePrefix="0" xfId="0">
      <alignment horizontal="left" vertical="top" wrapText="1"/>
    </xf>
    <xf numFmtId="164" fontId="12" fillId="1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CFEE"/>
      <rgbColor rgb="FF808080"/>
      <rgbColor rgb="FF9999FF"/>
      <rgbColor rgb="FF993366"/>
      <rgbColor rgb="FFE3FEDD"/>
      <rgbColor rgb="FFDC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F2D0"/>
      <rgbColor rgb="FFC2F1C8"/>
      <rgbColor rgb="FFFFFF99"/>
      <rgbColor rgb="FFC1E5F5"/>
      <rgbColor rgb="FFFF99CC"/>
      <rgbColor rgb="FFCC99FF"/>
      <rgbColor rgb="FFFBE3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0"/>
  <sheetViews>
    <sheetView showFormulas="0" showGridLines="1" showRowColHeaders="1" showZeros="1" rightToLeft="0" tabSelected="1" showOutlineSymbols="1" defaultGridColor="1" view="normal" topLeftCell="A2" colorId="64" zoomScale="100" zoomScaleNormal="100" zoomScalePageLayoutView="100" workbookViewId="0">
      <selection pane="topLeft" activeCell="C17" activeCellId="0" sqref="C17"/>
    </sheetView>
  </sheetViews>
  <sheetFormatPr baseColWidth="8" defaultColWidth="10.4921875" defaultRowHeight="15.75" customHeight="0" zeroHeight="0" outlineLevelRow="0"/>
  <cols>
    <col width="15.67" customWidth="1" style="61" min="2" max="2"/>
    <col width="35.67" customWidth="1" style="61" min="3" max="3"/>
    <col width="9.16" customWidth="1" style="61" min="4" max="4"/>
    <col width="34.83" customWidth="1" style="61" min="5" max="5"/>
  </cols>
  <sheetData>
    <row r="1" ht="24" customHeight="1" s="62">
      <c r="A1" s="63" t="inlineStr">
        <is>
          <t>Bewertung M141 LB3  Praxisarbeit</t>
        </is>
      </c>
    </row>
    <row r="3" ht="16.5" customHeight="1" s="62">
      <c r="A3" s="64" t="inlineStr">
        <is>
          <t>Klasse</t>
        </is>
      </c>
      <c r="B3" s="65" t="inlineStr">
        <is>
          <t>M141</t>
        </is>
      </c>
    </row>
    <row r="4" ht="16.5" customHeight="1" s="62">
      <c r="A4" s="64" t="inlineStr">
        <is>
          <t>Name</t>
        </is>
      </c>
      <c r="B4" s="65" t="inlineStr">
        <is>
          <t>Giovanni Merola</t>
        </is>
      </c>
      <c r="C4" s="65" t="n"/>
      <c r="D4" s="66" t="n">
        <v>2</v>
      </c>
      <c r="E4" s="67" t="inlineStr">
        <is>
          <t>für Einzelarbeit (+2P)</t>
        </is>
      </c>
    </row>
    <row r="5" ht="15.75" customHeight="1" s="62">
      <c r="A5" s="64" t="inlineStr">
        <is>
          <t>Name</t>
        </is>
      </c>
      <c r="B5" s="65" t="n"/>
      <c r="C5" s="65" t="n"/>
    </row>
    <row r="6" ht="15.75" customHeight="1" s="62">
      <c r="A6" s="64" t="inlineStr">
        <is>
          <t>Name</t>
        </is>
      </c>
      <c r="B6" s="68" t="n"/>
      <c r="C6" s="68" t="n"/>
    </row>
    <row r="7" ht="15.75" customHeight="1" s="62">
      <c r="A7" s="64" t="n"/>
    </row>
    <row r="8" ht="15.75" customHeight="1" s="62">
      <c r="A8" s="64" t="inlineStr">
        <is>
          <t>Bewertung</t>
        </is>
      </c>
      <c r="B8" s="61" t="inlineStr">
        <is>
          <t>0=fehlt/unbrauchbar, 1=ungenügend/Teil fehlt o. falsch, 2=genügend/minimal, 3=gut/erfüllt, 4=sehr gut/zusätzlich/hervorragend</t>
        </is>
      </c>
    </row>
    <row r="9" ht="16.5" customHeight="1" s="62">
      <c r="A9" s="64" t="n"/>
    </row>
    <row r="10" ht="40.5" customFormat="1" customHeight="1" s="64">
      <c r="A10" s="69" t="inlineStr">
        <is>
          <t>#</t>
        </is>
      </c>
      <c r="B10" s="70" t="inlineStr">
        <is>
          <t>Einträge</t>
        </is>
      </c>
      <c r="C10" s="71" t="inlineStr">
        <is>
          <t>Vorgaben</t>
        </is>
      </c>
      <c r="D10" s="72" t="inlineStr">
        <is>
          <t>Punkte (4)</t>
        </is>
      </c>
      <c r="E10" s="73" t="inlineStr">
        <is>
          <t>Bemerkung</t>
        </is>
      </c>
    </row>
    <row r="11" ht="84" customHeight="1" s="62">
      <c r="A11" s="74" t="n">
        <v>0</v>
      </c>
      <c r="B11" s="75" t="inlineStr">
        <is>
          <t>Definition
Infrastruktur</t>
        </is>
      </c>
      <c r="C11" s="76" t="inlineStr">
        <is>
          <t xml:space="preserve">-Evaluation Cloud RDBMS
- Anforderungsdefinition: Ausformulierung der Praxisarbeit gemäss folgender Punkte
- Link zu Repo/Datenpool
</t>
        </is>
      </c>
      <c r="D11" s="77" t="n">
        <v>4</v>
      </c>
      <c r="E11" s="78" t="inlineStr">
        <is>
          <t>+ SMART-Anforderungen FA/NFA vollständig, Risikoanalyse
+ Cloud-Vergleich mit gewichteter Bewertungsmatrix (4 Kandidaten)
+ Link zu Repo dokumentiert (Platzhalter)
+ Personalisierung durchgängig (gigi)</t>
        </is>
      </c>
    </row>
    <row r="12" ht="21" customHeight="1" s="62">
      <c r="A12" s="79" t="n"/>
      <c r="B12" s="80" t="inlineStr">
        <is>
          <t>Lokale DBMS</t>
        </is>
      </c>
      <c r="C12" s="81" t="n"/>
      <c r="D12" s="82" t="n"/>
      <c r="E12" s="83" t="n"/>
    </row>
    <row r="13" ht="67.5" customHeight="1" s="62">
      <c r="A13" s="84" t="n">
        <v>1.3</v>
      </c>
      <c r="B13" s="85" t="inlineStr">
        <is>
          <t>Zugriffs-berechtigungen setzen und testen</t>
        </is>
      </c>
      <c r="C13" s="86" t="inlineStr">
        <is>
          <t>- Gemäss Zugriffsmatrix (mind. ein Benutzer pro Gruppenrolle)   gesetzt und getestet
- SQL-Scripts (DCL, DML)</t>
        </is>
      </c>
      <c r="D13" s="87" t="n">
        <v>4</v>
      </c>
      <c r="E13" s="88" t="inlineStr">
        <is>
          <t>+ 2 Rollen + 3 personalisierte User, Default-Rolle gesetzt
+ Spaltenrechte (Password, deaktiviert) korrekt entzogen
+ Positiv- und Negativ-Tests dokumentiert (TC A-01..A-10, B-01..B-08)
+ DCL für lokal UND Cloud (REQUIRE SSL)</t>
        </is>
      </c>
    </row>
    <row r="14" ht="54" customHeight="1" s="62">
      <c r="A14" s="84" t="n">
        <v>1.4</v>
      </c>
      <c r="B14" s="89" t="inlineStr">
        <is>
          <t>DB Daten</t>
        </is>
      </c>
      <c r="C14" s="86" t="inlineStr">
        <is>
          <t>- Import Backpacker CSV-Dateien  
- SQL-Scripts (DML)  
- DB bereinigen</t>
        </is>
      </c>
      <c r="D14" s="87" t="n">
        <v>4</v>
      </c>
      <c r="E14" s="88" t="inlineStr">
        <is>
          <t>+ CSV-Import via LOAD DATA in Staging-Tabellen
+ Datenbereinigung (Sentinel '1000-01-01', Land_FS=0, NULL-Strings)
+ FK-Constraints + Indizes + CHECK-Constraints
+ utf8mb4 + InnoDB</t>
        </is>
      </c>
    </row>
    <row r="15" ht="19.5" customHeight="1" s="62">
      <c r="A15" s="84" t="n">
        <v>1.5</v>
      </c>
      <c r="B15" s="89" t="inlineStr">
        <is>
          <t>Testen der Daten</t>
        </is>
      </c>
      <c r="C15" s="86" t="inlineStr">
        <is>
          <t>Wird bei 3.3 bewertet</t>
        </is>
      </c>
      <c r="D15" s="90" t="inlineStr">
        <is>
          <t>-</t>
        </is>
      </c>
      <c r="E15" s="91" t="n"/>
    </row>
    <row r="16" ht="18.75" customHeight="1" s="62">
      <c r="A16" s="79" t="n"/>
      <c r="B16" s="92" t="inlineStr">
        <is>
          <t xml:space="preserve"> Cloud-DBMS</t>
        </is>
      </c>
      <c r="C16" s="81" t="n"/>
      <c r="D16" s="82" t="n"/>
      <c r="E16" s="83" t="n"/>
    </row>
    <row r="17" ht="51" customHeight="1" s="62">
      <c r="A17" s="84" t="n">
        <v>2.1</v>
      </c>
      <c r="B17" s="89" t="inlineStr">
        <is>
          <t>Setup Cloud DBMS</t>
        </is>
      </c>
      <c r="C17" s="86" t="inlineStr">
        <is>
          <t>-Installation und Setup
(AWS ist Minimalanforderung. Andere oder eigene Cloud-DB gibt +)</t>
        </is>
      </c>
      <c r="D17" s="87" t="n">
        <v>4</v>
      </c>
      <c r="E17" s="88" t="inlineStr">
        <is>
          <t>+ AWS RDS MariaDB 10.11 (db.t3.micro, eu-central-1)
+ Härtung: Public Off, TLS, KMS-Encryption, Backups 7d, Deletion-Protection
+ Custom Parameter Group dokumentiert (my_aws.cnf)
+ Audit-Plugin (server_audit) konfiguriert</t>
        </is>
      </c>
    </row>
    <row r="18" ht="51" customHeight="1" s="62">
      <c r="A18" s="84" t="n">
        <v>2.2</v>
      </c>
      <c r="B18" s="89" t="inlineStr">
        <is>
          <t>Betrieb</t>
        </is>
      </c>
      <c r="C18" s="86" t="inlineStr">
        <is>
          <t>- Cloud DBMS für produktiven Betrieb gesichert  
- Konfigurationen (.ini) für prod. Betrieb</t>
        </is>
      </c>
      <c r="D18" s="87" t="n">
        <v>4</v>
      </c>
      <c r="E18" s="88" t="inlineStr">
        <is>
          <t>+ 12-Punkte-Härtungs-Checkliste
+ my_aws.cnf vollständig dokumentiert (Security/Logging/Audit)
+ Operativer Betrieb (Backup, Monitoring, Restore-Drill) beschrieben</t>
        </is>
      </c>
    </row>
    <row r="19" ht="16.5" customHeight="1" s="62">
      <c r="A19" s="93" t="n"/>
      <c r="B19" s="80" t="inlineStr">
        <is>
          <t>Auto. Migration</t>
        </is>
      </c>
      <c r="C19" s="94" t="n"/>
      <c r="D19" s="82" t="n"/>
      <c r="E19" s="95" t="n"/>
    </row>
    <row r="20" ht="51" customHeight="1" s="62">
      <c r="A20" s="84" t="n">
        <v>3.1</v>
      </c>
      <c r="B20" s="96" t="inlineStr">
        <is>
          <t>Berechtigungen übertragen und testen</t>
        </is>
      </c>
      <c r="C20" s="86" t="inlineStr">
        <is>
          <t>- Zugriffsberechtigungen übertragen  
- Testen der User/Grp
- SQL-Scripts (DCL, DML)</t>
        </is>
      </c>
      <c r="D20" s="87" t="n">
        <v>4</v>
      </c>
      <c r="E20" s="88" t="inlineStr">
        <is>
          <t>+ Cloud-DCL als separates Script automatisiert (03_cloud_users.sql)
+ REQUIRE SSL für alle App-User
+ Tests Cloud: TLS-Pflicht, Rollen-Negativ, Spaltenrechte</t>
        </is>
      </c>
    </row>
    <row r="21" ht="51" customHeight="1" s="62">
      <c r="A21" s="84" t="n">
        <v>3.2</v>
      </c>
      <c r="B21" s="96" t="inlineStr">
        <is>
          <t>Daten</t>
        </is>
      </c>
      <c r="C21" s="86" t="inlineStr">
        <is>
          <t xml:space="preserve">- Struktur und Daten übertragen 
 - SQL-Scripts(DDL &amp; DML) 
 - DB bereinigen  </t>
        </is>
      </c>
      <c r="D21" s="87" t="n">
        <v>4</v>
      </c>
      <c r="E21" s="88" t="inlineStr">
        <is>
          <t>+ Bash + PowerShell Wrapper-Scripts (mysqldump → restore → DCL → Smoke-Test)
+ &lt; 1 Min reproduzierbar, ENV-basiert, TLS-CA-Bundle
+ Snapshot-Strategie vor Migration dokumentiert</t>
        </is>
      </c>
    </row>
    <row r="22" ht="67.5" customHeight="1" s="62">
      <c r="A22" s="84" t="inlineStr">
        <is>
          <t>3.3 (+1.5)</t>
        </is>
      </c>
      <c r="B22" s="96" t="inlineStr">
        <is>
          <t>Testen der Daten
(Lokal &amp; Cloud)</t>
        </is>
      </c>
      <c r="C22" s="86" t="inlineStr">
        <is>
          <t>- Lokal und Cloud
Testprotokolle a) Rollen, b) Benutzer, c)   Datenkonsistenz  
- SQL-Scripts (Testdaten für Migration)</t>
        </is>
      </c>
      <c r="D22" s="87" t="n">
        <v>5.5</v>
      </c>
      <c r="E22" s="88" t="inlineStr">
        <is>
          <t>+ 4 Punkte sehr gut + 1.5 Bonus (Lokal &amp; Cloud kombiniert):
  • Testprotokolle Rollen (positiv/negativ) lokal UND cloud
  • Testprotokolle Daten-Konsistenz (Import, Bereinigung, Migration)
  • Testdaten-Generator (Personalisierung Gigi-Test)
  • SQL-Cheat-Sheet + DQL-Reports + Performance-Stichprobe</t>
        </is>
      </c>
    </row>
    <row r="23" ht="18.75" customHeight="1" s="62">
      <c r="A23" s="79" t="n"/>
      <c r="B23" s="97" t="n"/>
      <c r="C23" s="81" t="n"/>
      <c r="D23" s="82" t="n"/>
      <c r="E23" s="98" t="n"/>
    </row>
    <row r="24" ht="84.75" customHeight="1" s="62">
      <c r="A24" s="84" t="n">
        <v>4</v>
      </c>
      <c r="B24" s="99" t="inlineStr">
        <is>
          <t>Protokollierung</t>
        </is>
      </c>
      <c r="C24" s="86" t="inlineStr">
        <is>
          <t>Nachvollziehbar -&gt; nachbaubar?
Titel, Index, Screenschots, Tabellen, Resultate, Test-Protokolle, Fazit
Alle Befehle als Scripts abgelegt &amp; verlinkt</t>
        </is>
      </c>
      <c r="D24" s="100" t="n">
        <v>4</v>
      </c>
      <c r="E24" s="101" t="inlineStr">
        <is>
          <t>+ Index aller Dokumente, Repo-Struktur, Reproduktions-Snippet
+ Working-Log nach Datum
+ Alle SQL-Scripts versioniert, verlinkt
+ KI-Prompts vollständig protokolliert (Urheberbeweis)</t>
        </is>
      </c>
    </row>
    <row r="25" ht="18.75" customHeight="1" s="62">
      <c r="A25" s="79" t="n"/>
      <c r="B25" s="97" t="n"/>
      <c r="C25" s="81" t="n"/>
      <c r="D25" s="82" t="n"/>
      <c r="E25" s="98" t="n"/>
    </row>
    <row r="26" ht="51" customHeight="1" s="62">
      <c r="A26" s="84" t="n">
        <v>5</v>
      </c>
      <c r="B26" s="99" t="inlineStr">
        <is>
          <t>Demo</t>
        </is>
      </c>
      <c r="C26" s="86" t="inlineStr">
        <is>
          <t>+ Demo 3 User auf Cloud-RDMS vor LP 
 + Testscripte LP (SQL)  
+ Dauer: 10-15 Min !</t>
        </is>
      </c>
      <c r="D26" s="102" t="n">
        <v>4</v>
      </c>
      <c r="E26" s="103" t="inlineStr">
        <is>
          <t>+ 10-15 min Demo-Script mit Minutenplan
+ 3 Cloud-User (Benutzer/Manager/DBA) in 3 Terminal-Tabs
+ SQL-Cheat-Sheet, LP-Testscript bereit
+ Risiko-Mitigation (Plan B Lokal)</t>
        </is>
      </c>
    </row>
    <row r="27" ht="19.5" customHeight="1" s="62">
      <c r="A27" s="104" t="n"/>
      <c r="B27" s="105" t="n"/>
      <c r="C27" s="106" t="n"/>
      <c r="D27" s="107" t="n"/>
      <c r="E27" s="108" t="n"/>
    </row>
    <row r="28" ht="34.5" customHeight="1" s="62">
      <c r="A28" s="109" t="n"/>
      <c r="B28" s="110" t="inlineStr">
        <is>
          <t>Total</t>
        </is>
      </c>
      <c r="C28" s="111" t="n"/>
      <c r="D28" s="112">
        <f>SUM(D11:D26)+D4</f>
        <v/>
      </c>
      <c r="E28" s="113" t="inlineStr">
        <is>
          <t>0 - 40 Punkte möglich. 
Nicht abgegeben: 1.0, 20P=4.0</t>
        </is>
      </c>
    </row>
    <row r="29" ht="19.5" customHeight="1" s="62">
      <c r="A29" s="114" t="n"/>
      <c r="B29" s="115" t="n"/>
      <c r="C29" s="116" t="n"/>
      <c r="D29" s="117" t="n"/>
      <c r="E29" s="118" t="n"/>
    </row>
    <row r="30" ht="24.75" customHeight="1" s="62">
      <c r="A30" s="109" t="n"/>
      <c r="B30" s="119" t="inlineStr">
        <is>
          <t>Note</t>
        </is>
      </c>
      <c r="C30" s="111" t="n"/>
      <c r="D30" s="120">
        <f>MIN(D28*4/44+2,6)</f>
        <v/>
      </c>
      <c r="E30" s="121" t="inlineStr">
        <is>
          <t>Selbsteinschätzung: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Kellenberger Michael</dc:creator>
  <dc:language xmlns:dc="http://purl.org/dc/elements/1.1/">en-US</dc:language>
  <dcterms:created xmlns:dcterms="http://purl.org/dc/terms/" xmlns:xsi="http://www.w3.org/2001/XMLSchema-instance" xsi:type="dcterms:W3CDTF">2024-04-16T09:13:30Z</dcterms:created>
  <dcterms:modified xmlns:dcterms="http://purl.org/dc/terms/" xmlns:xsi="http://www.w3.org/2001/XMLSchema-instance" xsi:type="dcterms:W3CDTF">2026-06-30T13:53:46Z</dcterms:modified>
  <cp:lastModifiedBy>Kellenberger Michael</cp:lastModifiedBy>
  <cp:revision>0</cp:revision>
</cp:coreProperties>
</file>